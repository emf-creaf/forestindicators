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xl/_rels/workbook.xml.rels" ContentType="application/vnd.openxmlformats-package.relationships+xml"/>
  <Override PartName="/customXml/itemProps6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tand_static_input" sheetId="1" state="visible" r:id="rId3"/>
    <sheet name="stand_dynamic_input" sheetId="2" state="visible" r:id="rId4"/>
    <sheet name="plant_static_input" sheetId="3" state="visible" r:id="rId5"/>
    <sheet name="plant_dynamic_inpu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<sst xmlns="http://schemas.openxmlformats.org/spreadsheetml/2006/main" count="211" uniqueCount="29">
  <si>
    <t xml:space="preserve">id_stand</t>
  </si>
  <si>
    <t xml:space="preserve">area</t>
  </si>
  <si>
    <t xml:space="preserve">slope_degree</t>
  </si>
  <si>
    <t xml:space="preserve">080001</t>
  </si>
  <si>
    <t xml:space="preserve">080002</t>
  </si>
  <si>
    <t xml:space="preserve">080003</t>
  </si>
  <si>
    <t xml:space="preserve">080004</t>
  </si>
  <si>
    <t xml:space="preserve">080005</t>
  </si>
  <si>
    <t xml:space="preserve">080006</t>
  </si>
  <si>
    <t xml:space="preserve">080007</t>
  </si>
  <si>
    <t xml:space="preserve">080008</t>
  </si>
  <si>
    <t xml:space="preserve">080009</t>
  </si>
  <si>
    <t xml:space="preserve">date</t>
  </si>
  <si>
    <t xml:space="preserve">mean_precipitation</t>
  </si>
  <si>
    <t xml:space="preserve">canopy_cover</t>
  </si>
  <si>
    <t xml:space="preserve">plant_entity</t>
  </si>
  <si>
    <t xml:space="preserve">beautiness</t>
  </si>
  <si>
    <t xml:space="preserve">Pinus halepensis</t>
  </si>
  <si>
    <t xml:space="preserve">Pinus sylvestris</t>
  </si>
  <si>
    <t xml:space="preserve">Quercus ilex</t>
  </si>
  <si>
    <t xml:space="preserve">Quercus suber</t>
  </si>
  <si>
    <t xml:space="preserve">Pinus nigra</t>
  </si>
  <si>
    <t xml:space="preserve">state</t>
  </si>
  <si>
    <t xml:space="preserve">dbh</t>
  </si>
  <si>
    <t xml:space="preserve">h</t>
  </si>
  <si>
    <t xml:space="preserve">n</t>
  </si>
  <si>
    <t xml:space="preserve">live</t>
  </si>
  <si>
    <t xml:space="preserve">cut</t>
  </si>
  <si>
    <t xml:space="preserve">dead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</si>
</sst>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5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worksheet" Target="worksheets/sheet1.xml"/><Relationship Id="rId7" Type="http://schemas.openxmlformats.org/officeDocument/2006/relationships/sharedStrings" Target="sharedStrings.xml"/><Relationship Id="rId2" Type="http://schemas.openxmlformats.org/officeDocument/2006/relationships/styles" Target="styles.xml"/><Relationship Id="rId1" Type="http://schemas.openxmlformats.org/officeDocument/2006/relationships/theme" Target="theme/theme1.xml"/><Relationship Id="rId6" Type="http://schemas.openxmlformats.org/officeDocument/2006/relationships/worksheet" Target="worksheets/sheet4.xml"/><Relationship Id="rId5" Type="http://schemas.openxmlformats.org/officeDocument/2006/relationships/worksheet" Target="worksheets/sheet3.xml"/><Relationship Id="rId10" Type="http://schemas.openxmlformats.org/officeDocument/2006/relationships/customXml" Target="../customXml/item6.xml"/><Relationship Id="rId4" Type="http://schemas.openxmlformats.org/officeDocument/2006/relationships/worksheet" Target="worksheets/sheet2.xml"/><Relationship Id="rId9" Type="http://schemas.openxmlformats.org/officeDocument/2006/relationships/customXml" Target="../customXml/item5.xml"/></Relationship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0.55859375" defaultRowHeight="14.25" zeroHeight="false" outlineLevelRow="0" outlineLevelCol="0"/>
  <sheetData>
    <row r="1" s="1" customFormat="true" ht="14.2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4.25" hidden="false" customHeight="false" outlineLevel="0" collapsed="false">
      <c r="A2" s="2" t="s">
        <v>3</v>
      </c>
      <c r="B2" s="2" t="n">
        <f aca="true">+ROUND(RAND()*1000, 1)</f>
        <v>662.3</v>
      </c>
      <c r="C2" s="2" t="n">
        <f aca="true">+ROUND(RAND()*10, 1)</f>
        <v>3.5</v>
      </c>
    </row>
    <row r="3" customFormat="false" ht="14.25" hidden="false" customHeight="false" outlineLevel="0" collapsed="false">
      <c r="A3" s="2" t="s">
        <v>4</v>
      </c>
      <c r="B3" s="2" t="n">
        <f aca="true">+ROUND(RAND()*1000, 1)</f>
        <v>329.3</v>
      </c>
      <c r="C3" s="2" t="n">
        <f aca="true">+ROUND(RAND()*10, 1)</f>
        <v>0.9</v>
      </c>
    </row>
    <row r="4" customFormat="false" ht="14.25" hidden="false" customHeight="false" outlineLevel="0" collapsed="false">
      <c r="A4" s="2" t="s">
        <v>5</v>
      </c>
      <c r="B4" s="2" t="n">
        <f aca="true">+ROUND(RAND()*1000, 1)</f>
        <v>565.7</v>
      </c>
      <c r="C4" s="2" t="n">
        <f aca="true">+ROUND(RAND()*10, 1)</f>
        <v>3.2</v>
      </c>
    </row>
    <row r="5" customFormat="false" ht="14.25" hidden="false" customHeight="false" outlineLevel="0" collapsed="false">
      <c r="A5" s="2" t="s">
        <v>6</v>
      </c>
      <c r="B5" s="2" t="n">
        <f aca="true">+ROUND(RAND()*1000, 1)</f>
        <v>161.2</v>
      </c>
      <c r="C5" s="2" t="n">
        <f aca="true">+ROUND(RAND()*10, 1)</f>
        <v>7.4</v>
      </c>
    </row>
    <row r="6" customFormat="false" ht="14.25" hidden="false" customHeight="false" outlineLevel="0" collapsed="false">
      <c r="A6" s="2" t="s">
        <v>7</v>
      </c>
      <c r="B6" s="2" t="n">
        <f aca="true">+ROUND(RAND()*1000, 1)</f>
        <v>589.7</v>
      </c>
      <c r="C6" s="2" t="n">
        <f aca="true">+ROUND(RAND()*10, 1)</f>
        <v>7.9</v>
      </c>
    </row>
    <row r="7" customFormat="false" ht="14.25" hidden="false" customHeight="false" outlineLevel="0" collapsed="false">
      <c r="A7" s="2" t="s">
        <v>8</v>
      </c>
      <c r="B7" s="2" t="n">
        <f aca="true">+ROUND(RAND()*1000, 1)</f>
        <v>461.2</v>
      </c>
      <c r="C7" s="2" t="n">
        <f aca="true">+ROUND(RAND()*10, 1)</f>
        <v>7.3</v>
      </c>
    </row>
    <row r="8" customFormat="false" ht="14.25" hidden="false" customHeight="false" outlineLevel="0" collapsed="false">
      <c r="A8" s="2" t="s">
        <v>9</v>
      </c>
      <c r="B8" s="2" t="n">
        <f aca="true">+ROUND(RAND()*1000, 1)</f>
        <v>589.5</v>
      </c>
      <c r="C8" s="2" t="n">
        <f aca="true">+ROUND(RAND()*10, 1)</f>
        <v>1.6</v>
      </c>
    </row>
    <row r="9" customFormat="false" ht="14.25" hidden="false" customHeight="false" outlineLevel="0" collapsed="false">
      <c r="A9" s="2" t="s">
        <v>10</v>
      </c>
      <c r="B9" s="2" t="n">
        <f aca="true">+ROUND(RAND()*1000, 1)</f>
        <v>428.3</v>
      </c>
      <c r="C9" s="2" t="n">
        <f aca="true">+ROUND(RAND()*10, 1)</f>
        <v>1.6</v>
      </c>
    </row>
    <row r="10" customFormat="false" ht="14.25" hidden="false" customHeight="false" outlineLevel="0" collapsed="false">
      <c r="A10" s="2" t="s">
        <v>11</v>
      </c>
      <c r="B10" s="2" t="n">
        <f aca="true">+ROUND(RAND()*1000, 1)</f>
        <v>580.2</v>
      </c>
      <c r="C10" s="2" t="n">
        <f aca="true">+ROUND(RAND()*10, 1)</f>
        <v>3.1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5859375" defaultRowHeight="14.25" zeroHeight="false" outlineLevelRow="0" outlineLevelCol="0"/>
  <cols>
    <col collapsed="false" customWidth="true" hidden="false" outlineLevel="0" max="2" min="1" style="2" width="12.89"/>
    <col collapsed="false" customWidth="true" hidden="false" outlineLevel="0" max="3" min="3" style="2" width="22.89"/>
    <col collapsed="false" customWidth="true" hidden="false" outlineLevel="0" max="4" min="4" style="2" width="12.89"/>
  </cols>
  <sheetData>
    <row r="1" s="1" customFormat="true" ht="14.25" hidden="false" customHeight="false" outlineLevel="0" collapsed="false">
      <c r="A1" s="1" t="s">
        <v>0</v>
      </c>
      <c r="B1" s="1" t="s">
        <v>12</v>
      </c>
      <c r="C1" s="1" t="s">
        <v>13</v>
      </c>
      <c r="D1" s="1" t="s">
        <v>14</v>
      </c>
    </row>
    <row r="2" customFormat="false" ht="14.25" hidden="false" customHeight="false" outlineLevel="0" collapsed="false">
      <c r="A2" s="2" t="s">
        <v>3</v>
      </c>
      <c r="B2" s="3" t="n">
        <v>45658</v>
      </c>
      <c r="C2" s="2" t="n">
        <f aca="true">+ROUND(RAND()*1000, 1)</f>
        <v>541</v>
      </c>
      <c r="D2" s="2" t="n">
        <f aca="true">+ROUND(RAND()*100, 1)</f>
        <v>62.8</v>
      </c>
    </row>
    <row r="3" customFormat="false" ht="14.25" hidden="false" customHeight="false" outlineLevel="0" collapsed="false">
      <c r="A3" s="2" t="s">
        <v>4</v>
      </c>
      <c r="B3" s="3" t="n">
        <v>45658</v>
      </c>
      <c r="C3" s="2" t="n">
        <f aca="true">+ROUND(RAND()*1000, 1)</f>
        <v>750.6</v>
      </c>
      <c r="D3" s="2" t="n">
        <f aca="true">+ROUND(RAND()*100, 1)</f>
        <v>0.9</v>
      </c>
    </row>
    <row r="4" customFormat="false" ht="14.25" hidden="false" customHeight="false" outlineLevel="0" collapsed="false">
      <c r="A4" s="2" t="s">
        <v>5</v>
      </c>
      <c r="B4" s="3" t="n">
        <v>45658</v>
      </c>
      <c r="C4" s="2" t="n">
        <f aca="true">+ROUND(RAND()*1000, 1)</f>
        <v>173.5</v>
      </c>
      <c r="D4" s="2" t="n">
        <f aca="true">+ROUND(RAND()*100, 1)</f>
        <v>21</v>
      </c>
    </row>
    <row r="5" customFormat="false" ht="14.25" hidden="false" customHeight="false" outlineLevel="0" collapsed="false">
      <c r="A5" s="2" t="s">
        <v>6</v>
      </c>
      <c r="B5" s="3" t="n">
        <v>45658</v>
      </c>
      <c r="C5" s="2" t="n">
        <f aca="true">+ROUND(RAND()*1000, 1)</f>
        <v>71.7</v>
      </c>
      <c r="D5" s="2" t="n">
        <f aca="true">+ROUND(RAND()*100, 1)</f>
        <v>62.5</v>
      </c>
    </row>
    <row r="6" customFormat="false" ht="14.25" hidden="false" customHeight="false" outlineLevel="0" collapsed="false">
      <c r="A6" s="2" t="s">
        <v>7</v>
      </c>
      <c r="B6" s="3" t="n">
        <v>45658</v>
      </c>
      <c r="C6" s="2" t="n">
        <f aca="true">+ROUND(RAND()*1000, 1)</f>
        <v>755.7</v>
      </c>
      <c r="D6" s="2" t="n">
        <f aca="true">+ROUND(RAND()*100, 1)</f>
        <v>2.5</v>
      </c>
    </row>
    <row r="7" customFormat="false" ht="14.25" hidden="false" customHeight="false" outlineLevel="0" collapsed="false">
      <c r="A7" s="2" t="s">
        <v>8</v>
      </c>
      <c r="B7" s="3" t="n">
        <v>45658</v>
      </c>
      <c r="C7" s="2" t="n">
        <f aca="true">+ROUND(RAND()*1000, 1)</f>
        <v>464</v>
      </c>
      <c r="D7" s="2" t="n">
        <f aca="true">+ROUND(RAND()*100, 1)</f>
        <v>12.1</v>
      </c>
    </row>
    <row r="8" customFormat="false" ht="14.25" hidden="false" customHeight="false" outlineLevel="0" collapsed="false">
      <c r="A8" s="2" t="s">
        <v>9</v>
      </c>
      <c r="B8" s="3" t="n">
        <v>45658</v>
      </c>
      <c r="C8" s="2" t="n">
        <f aca="true">+ROUND(RAND()*1000, 1)</f>
        <v>219.7</v>
      </c>
      <c r="D8" s="2" t="n">
        <f aca="true">+ROUND(RAND()*100, 1)</f>
        <v>51.9</v>
      </c>
    </row>
    <row r="9" customFormat="false" ht="14.25" hidden="false" customHeight="false" outlineLevel="0" collapsed="false">
      <c r="A9" s="2" t="s">
        <v>10</v>
      </c>
      <c r="B9" s="3" t="n">
        <v>45658</v>
      </c>
      <c r="C9" s="2" t="n">
        <f aca="true">+ROUND(RAND()*1000, 1)</f>
        <v>649.8</v>
      </c>
      <c r="D9" s="2" t="n">
        <f aca="true">+ROUND(RAND()*100, 1)</f>
        <v>37.2</v>
      </c>
    </row>
    <row r="10" customFormat="false" ht="14.25" hidden="false" customHeight="false" outlineLevel="0" collapsed="false">
      <c r="A10" s="2" t="s">
        <v>11</v>
      </c>
      <c r="B10" s="3" t="n">
        <v>45658</v>
      </c>
      <c r="C10" s="2" t="n">
        <f aca="true">+ROUND(RAND()*1000, 1)</f>
        <v>351.4</v>
      </c>
      <c r="D10" s="2" t="n">
        <f aca="true">+ROUND(RAND()*100, 1)</f>
        <v>50.8</v>
      </c>
    </row>
    <row r="11" customFormat="false" ht="14.25" hidden="false" customHeight="false" outlineLevel="0" collapsed="false">
      <c r="A11" s="2" t="s">
        <v>3</v>
      </c>
      <c r="B11" s="3" t="n">
        <v>45689</v>
      </c>
      <c r="C11" s="2" t="n">
        <f aca="true">+ROUND(RAND()*1000, 1)</f>
        <v>134.2</v>
      </c>
      <c r="D11" s="2" t="n">
        <f aca="true">+ROUND(RAND()*100, 1)</f>
        <v>17.3</v>
      </c>
    </row>
    <row r="12" customFormat="false" ht="14.25" hidden="false" customHeight="false" outlineLevel="0" collapsed="false">
      <c r="A12" s="2" t="s">
        <v>4</v>
      </c>
      <c r="B12" s="3" t="n">
        <v>45689</v>
      </c>
      <c r="C12" s="2" t="n">
        <f aca="true">+ROUND(RAND()*1000, 1)</f>
        <v>870.5</v>
      </c>
      <c r="D12" s="2" t="n">
        <f aca="true">+ROUND(RAND()*100, 1)</f>
        <v>69.2</v>
      </c>
    </row>
    <row r="13" customFormat="false" ht="14.25" hidden="false" customHeight="false" outlineLevel="0" collapsed="false">
      <c r="A13" s="2" t="s">
        <v>5</v>
      </c>
      <c r="B13" s="3" t="n">
        <v>45689</v>
      </c>
      <c r="C13" s="2" t="n">
        <f aca="true">+ROUND(RAND()*1000, 1)</f>
        <v>30.2</v>
      </c>
      <c r="D13" s="2" t="n">
        <f aca="true">+ROUND(RAND()*100, 1)</f>
        <v>78</v>
      </c>
    </row>
    <row r="14" customFormat="false" ht="14.25" hidden="false" customHeight="false" outlineLevel="0" collapsed="false">
      <c r="A14" s="2" t="s">
        <v>6</v>
      </c>
      <c r="B14" s="3" t="n">
        <v>45689</v>
      </c>
      <c r="C14" s="2" t="n">
        <f aca="true">+ROUND(RAND()*1000, 1)</f>
        <v>417.5</v>
      </c>
      <c r="D14" s="2" t="n">
        <f aca="true">+ROUND(RAND()*100, 1)</f>
        <v>41.3</v>
      </c>
    </row>
    <row r="15" customFormat="false" ht="14.25" hidden="false" customHeight="false" outlineLevel="0" collapsed="false">
      <c r="A15" s="2" t="s">
        <v>7</v>
      </c>
      <c r="B15" s="3" t="n">
        <v>45689</v>
      </c>
      <c r="C15" s="2" t="n">
        <f aca="true">+ROUND(RAND()*1000, 1)</f>
        <v>13.5</v>
      </c>
      <c r="D15" s="2" t="n">
        <f aca="true">+ROUND(RAND()*100, 1)</f>
        <v>1.2</v>
      </c>
    </row>
    <row r="16" customFormat="false" ht="14.25" hidden="false" customHeight="false" outlineLevel="0" collapsed="false">
      <c r="A16" s="2" t="s">
        <v>8</v>
      </c>
      <c r="B16" s="3" t="n">
        <v>45689</v>
      </c>
      <c r="C16" s="2" t="n">
        <f aca="true">+ROUND(RAND()*1000, 1)</f>
        <v>655.9</v>
      </c>
      <c r="D16" s="2" t="n">
        <f aca="true">+ROUND(RAND()*100, 1)</f>
        <v>19.8</v>
      </c>
    </row>
    <row r="17" customFormat="false" ht="14.25" hidden="false" customHeight="false" outlineLevel="0" collapsed="false">
      <c r="A17" s="2" t="s">
        <v>9</v>
      </c>
      <c r="B17" s="3" t="n">
        <v>45689</v>
      </c>
      <c r="C17" s="2" t="n">
        <f aca="true">+ROUND(RAND()*1000, 1)</f>
        <v>231.4</v>
      </c>
      <c r="D17" s="2" t="n">
        <f aca="true">+ROUND(RAND()*100, 1)</f>
        <v>83</v>
      </c>
    </row>
    <row r="18" customFormat="false" ht="14.25" hidden="false" customHeight="false" outlineLevel="0" collapsed="false">
      <c r="A18" s="2" t="s">
        <v>10</v>
      </c>
      <c r="B18" s="3" t="n">
        <v>45689</v>
      </c>
      <c r="C18" s="2" t="n">
        <f aca="true">+ROUND(RAND()*1000, 1)</f>
        <v>9.3</v>
      </c>
      <c r="D18" s="2" t="n">
        <f aca="true">+ROUND(RAND()*100, 1)</f>
        <v>16.8</v>
      </c>
    </row>
    <row r="19" customFormat="false" ht="14.25" hidden="false" customHeight="false" outlineLevel="0" collapsed="false">
      <c r="A19" s="2" t="s">
        <v>11</v>
      </c>
      <c r="B19" s="3" t="n">
        <v>45689</v>
      </c>
      <c r="C19" s="2" t="n">
        <f aca="true">+ROUND(RAND()*1000, 1)</f>
        <v>113</v>
      </c>
      <c r="D19" s="2" t="n">
        <f aca="true">+ROUND(RAND()*100, 1)</f>
        <v>61.2</v>
      </c>
    </row>
    <row r="20" customFormat="false" ht="14.25" hidden="false" customHeight="false" outlineLevel="0" collapsed="false">
      <c r="A20" s="2" t="s">
        <v>3</v>
      </c>
      <c r="B20" s="3" t="n">
        <v>45717</v>
      </c>
      <c r="C20" s="2" t="n">
        <f aca="true">+ROUND(RAND()*1000, 1)</f>
        <v>547</v>
      </c>
      <c r="D20" s="2" t="n">
        <f aca="true">+ROUND(RAND()*100, 1)</f>
        <v>66.5</v>
      </c>
    </row>
    <row r="21" customFormat="false" ht="14.25" hidden="false" customHeight="false" outlineLevel="0" collapsed="false">
      <c r="A21" s="2" t="s">
        <v>4</v>
      </c>
      <c r="B21" s="3" t="n">
        <v>45717</v>
      </c>
      <c r="C21" s="2" t="n">
        <f aca="true">+ROUND(RAND()*1000, 1)</f>
        <v>252.4</v>
      </c>
      <c r="D21" s="2" t="n">
        <f aca="true">+ROUND(RAND()*100, 1)</f>
        <v>74.7</v>
      </c>
    </row>
    <row r="22" customFormat="false" ht="14.25" hidden="false" customHeight="false" outlineLevel="0" collapsed="false">
      <c r="A22" s="2" t="s">
        <v>5</v>
      </c>
      <c r="B22" s="3" t="n">
        <v>45717</v>
      </c>
      <c r="C22" s="2" t="n">
        <f aca="true">+ROUND(RAND()*1000, 1)</f>
        <v>635.1</v>
      </c>
      <c r="D22" s="2" t="n">
        <f aca="true">+ROUND(RAND()*100, 1)</f>
        <v>19</v>
      </c>
    </row>
    <row r="23" customFormat="false" ht="14.25" hidden="false" customHeight="false" outlineLevel="0" collapsed="false">
      <c r="A23" s="2" t="s">
        <v>6</v>
      </c>
      <c r="B23" s="3" t="n">
        <v>45717</v>
      </c>
      <c r="C23" s="2" t="n">
        <f aca="true">+ROUND(RAND()*1000, 1)</f>
        <v>429</v>
      </c>
      <c r="D23" s="2" t="n">
        <f aca="true">+ROUND(RAND()*100, 1)</f>
        <v>10.1</v>
      </c>
    </row>
    <row r="24" customFormat="false" ht="14.25" hidden="false" customHeight="false" outlineLevel="0" collapsed="false">
      <c r="A24" s="2" t="s">
        <v>7</v>
      </c>
      <c r="B24" s="3" t="n">
        <v>45717</v>
      </c>
      <c r="C24" s="2" t="n">
        <f aca="true">+ROUND(RAND()*1000, 1)</f>
        <v>547.3</v>
      </c>
      <c r="D24" s="2" t="n">
        <f aca="true">+ROUND(RAND()*100, 1)</f>
        <v>11.8</v>
      </c>
    </row>
    <row r="25" customFormat="false" ht="14.25" hidden="false" customHeight="false" outlineLevel="0" collapsed="false">
      <c r="A25" s="2" t="s">
        <v>8</v>
      </c>
      <c r="B25" s="3" t="n">
        <v>45717</v>
      </c>
      <c r="C25" s="2" t="n">
        <f aca="true">+ROUND(RAND()*1000, 1)</f>
        <v>353.1</v>
      </c>
      <c r="D25" s="2" t="n">
        <f aca="true">+ROUND(RAND()*100, 1)</f>
        <v>56.1</v>
      </c>
    </row>
    <row r="26" customFormat="false" ht="14.25" hidden="false" customHeight="false" outlineLevel="0" collapsed="false">
      <c r="A26" s="2" t="s">
        <v>9</v>
      </c>
      <c r="B26" s="3" t="n">
        <v>45717</v>
      </c>
      <c r="C26" s="2" t="n">
        <f aca="true">+ROUND(RAND()*1000, 1)</f>
        <v>362.2</v>
      </c>
      <c r="D26" s="2" t="n">
        <f aca="true">+ROUND(RAND()*100, 1)</f>
        <v>44.4</v>
      </c>
    </row>
    <row r="27" customFormat="false" ht="14.25" hidden="false" customHeight="false" outlineLevel="0" collapsed="false">
      <c r="A27" s="2" t="s">
        <v>10</v>
      </c>
      <c r="B27" s="3" t="n">
        <v>45717</v>
      </c>
      <c r="C27" s="2" t="n">
        <f aca="true">+ROUND(RAND()*1000, 1)</f>
        <v>442.3</v>
      </c>
      <c r="D27" s="2" t="n">
        <f aca="true">+ROUND(RAND()*100, 1)</f>
        <v>84.2</v>
      </c>
    </row>
    <row r="28" customFormat="false" ht="14.25" hidden="false" customHeight="false" outlineLevel="0" collapsed="false">
      <c r="A28" s="2" t="s">
        <v>11</v>
      </c>
      <c r="B28" s="3" t="n">
        <v>45717</v>
      </c>
      <c r="C28" s="2" t="n">
        <f aca="true">+ROUND(RAND()*1000, 1)</f>
        <v>373.7</v>
      </c>
      <c r="D28" s="2" t="n">
        <f aca="true">+ROUND(RAND()*100, 1)</f>
        <v>14.3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0.55859375" defaultRowHeight="14.25" zeroHeight="false" outlineLevelRow="0" outlineLevelCol="0"/>
  <cols>
    <col collapsed="false" customWidth="true" hidden="false" outlineLevel="0" max="2" min="2" style="2" width="14.44"/>
  </cols>
  <sheetData>
    <row r="1" s="1" customFormat="true" ht="14.25" hidden="false" customHeight="false" outlineLevel="0" collapsed="false">
      <c r="A1" s="1" t="s">
        <v>0</v>
      </c>
      <c r="B1" s="1" t="s">
        <v>15</v>
      </c>
      <c r="C1" s="1" t="s">
        <v>16</v>
      </c>
    </row>
    <row r="2" customFormat="false" ht="14.25" hidden="false" customHeight="false" outlineLevel="0" collapsed="false">
      <c r="A2" s="2" t="s">
        <v>3</v>
      </c>
      <c r="B2" s="2" t="s">
        <v>17</v>
      </c>
      <c r="C2" s="2" t="n">
        <f aca="true">+ROUND(RAND(), 2)</f>
        <v>0</v>
      </c>
    </row>
    <row r="3" customFormat="false" ht="14.25" hidden="false" customHeight="false" outlineLevel="0" collapsed="false">
      <c r="A3" s="2" t="s">
        <v>4</v>
      </c>
      <c r="B3" s="2" t="s">
        <v>17</v>
      </c>
      <c r="C3" s="2" t="n">
        <f aca="true">+ROUND(RAND(), 2)</f>
        <v>0.22</v>
      </c>
    </row>
    <row r="4" customFormat="false" ht="14.25" hidden="false" customHeight="false" outlineLevel="0" collapsed="false">
      <c r="A4" s="2" t="s">
        <v>5</v>
      </c>
      <c r="B4" s="2" t="s">
        <v>18</v>
      </c>
      <c r="C4" s="2" t="n">
        <f aca="true">+ROUND(RAND(), 2)</f>
        <v>0.13</v>
      </c>
    </row>
    <row r="5" customFormat="false" ht="14.25" hidden="false" customHeight="false" outlineLevel="0" collapsed="false">
      <c r="A5" s="2" t="s">
        <v>6</v>
      </c>
      <c r="B5" s="2" t="s">
        <v>18</v>
      </c>
      <c r="C5" s="2" t="n">
        <f aca="true">+ROUND(RAND(), 2)</f>
        <v>0.07</v>
      </c>
    </row>
    <row r="6" customFormat="false" ht="14.25" hidden="false" customHeight="false" outlineLevel="0" collapsed="false">
      <c r="A6" s="2" t="s">
        <v>7</v>
      </c>
      <c r="B6" s="2" t="s">
        <v>19</v>
      </c>
      <c r="C6" s="2" t="n">
        <f aca="true">+ROUND(RAND(), 2)</f>
        <v>0.18</v>
      </c>
    </row>
    <row r="7" customFormat="false" ht="14.25" hidden="false" customHeight="false" outlineLevel="0" collapsed="false">
      <c r="A7" s="2" t="s">
        <v>8</v>
      </c>
      <c r="B7" s="2" t="s">
        <v>19</v>
      </c>
      <c r="C7" s="2" t="n">
        <f aca="true">+ROUND(RAND(), 2)</f>
        <v>0.14</v>
      </c>
    </row>
    <row r="8" customFormat="false" ht="14.25" hidden="false" customHeight="false" outlineLevel="0" collapsed="false">
      <c r="A8" s="2" t="s">
        <v>9</v>
      </c>
      <c r="B8" s="2" t="s">
        <v>19</v>
      </c>
      <c r="C8" s="2" t="n">
        <f aca="true">+ROUND(RAND(), 2)</f>
        <v>0.01</v>
      </c>
    </row>
    <row r="9" customFormat="false" ht="14.25" hidden="false" customHeight="false" outlineLevel="0" collapsed="false">
      <c r="A9" s="2" t="s">
        <v>10</v>
      </c>
      <c r="B9" s="2" t="s">
        <v>20</v>
      </c>
      <c r="C9" s="2" t="n">
        <f aca="true">+ROUND(RAND(), 2)</f>
        <v>0.47</v>
      </c>
    </row>
    <row r="10" customFormat="false" ht="14.25" hidden="false" customHeight="false" outlineLevel="0" collapsed="false">
      <c r="A10" s="2" t="s">
        <v>11</v>
      </c>
      <c r="B10" s="2" t="s">
        <v>20</v>
      </c>
      <c r="C10" s="2" t="n">
        <f aca="true">+ROUND(RAND(), 2)</f>
        <v>0.54</v>
      </c>
    </row>
    <row r="11" customFormat="false" ht="14.25" hidden="false" customHeight="false" outlineLevel="0" collapsed="false">
      <c r="A11" s="2" t="s">
        <v>3</v>
      </c>
      <c r="B11" s="2" t="s">
        <v>21</v>
      </c>
      <c r="C11" s="2" t="n">
        <f aca="true">+ROUND(RAND(), 2)</f>
        <v>0.43</v>
      </c>
    </row>
    <row r="12" customFormat="false" ht="14.25" hidden="false" customHeight="false" outlineLevel="0" collapsed="false">
      <c r="A12" s="2" t="s">
        <v>4</v>
      </c>
      <c r="B12" s="2" t="s">
        <v>21</v>
      </c>
      <c r="C12" s="2" t="n">
        <f aca="true">+ROUND(RAND(), 2)</f>
        <v>0.05</v>
      </c>
    </row>
    <row r="13" customFormat="false" ht="14.25" hidden="false" customHeight="false" outlineLevel="0" collapsed="false">
      <c r="A13" s="2" t="s">
        <v>7</v>
      </c>
      <c r="B13" s="2" t="s">
        <v>17</v>
      </c>
      <c r="C13" s="2" t="n">
        <f aca="true">+ROUND(RAND(), 2)</f>
        <v>0.53</v>
      </c>
    </row>
    <row r="14" customFormat="false" ht="14.25" hidden="false" customHeight="false" outlineLevel="0" collapsed="false">
      <c r="A14" s="2" t="s">
        <v>8</v>
      </c>
      <c r="B14" s="2" t="s">
        <v>17</v>
      </c>
      <c r="C14" s="2" t="n">
        <f aca="true">+ROUND(RAND(), 2)</f>
        <v>0.09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0.55859375" defaultRowHeight="14.25" zeroHeight="false" outlineLevelRow="0" outlineLevelCol="0"/>
  <cols>
    <col collapsed="false" customWidth="true" hidden="false" outlineLevel="0" max="2" min="2" style="2" width="14.44"/>
  </cols>
  <sheetData>
    <row r="1" s="1" customFormat="true" ht="14.25" hidden="false" customHeight="false" outlineLevel="0" collapsed="false">
      <c r="A1" s="1" t="s">
        <v>0</v>
      </c>
      <c r="B1" s="1" t="s">
        <v>15</v>
      </c>
      <c r="C1" s="1" t="s">
        <v>12</v>
      </c>
      <c r="D1" s="1" t="s">
        <v>22</v>
      </c>
      <c r="E1" s="1" t="s">
        <v>23</v>
      </c>
      <c r="F1" s="1" t="s">
        <v>24</v>
      </c>
      <c r="G1" s="1" t="s">
        <v>25</v>
      </c>
    </row>
    <row r="2" customFormat="false" ht="14.25" hidden="false" customHeight="false" outlineLevel="0" collapsed="false">
      <c r="A2" s="2" t="s">
        <v>3</v>
      </c>
      <c r="B2" s="2" t="s">
        <v>17</v>
      </c>
      <c r="C2" s="3" t="n">
        <v>44927</v>
      </c>
      <c r="D2" s="2" t="s">
        <v>26</v>
      </c>
      <c r="E2" s="2" t="n">
        <f aca="true">+ROUND(RAND()*50, 1)+5</f>
        <v>52</v>
      </c>
      <c r="F2" s="2" t="n">
        <f aca="true">+ROUND(RAND()*20, 1)+3</f>
        <v>17.9</v>
      </c>
      <c r="G2" s="2" t="n">
        <f aca="true">+ROUND(RAND()*100, 0)</f>
        <v>62</v>
      </c>
    </row>
    <row r="3" customFormat="false" ht="14.25" hidden="false" customHeight="false" outlineLevel="0" collapsed="false">
      <c r="A3" s="2" t="s">
        <v>3</v>
      </c>
      <c r="B3" s="2" t="s">
        <v>17</v>
      </c>
      <c r="C3" s="3" t="n">
        <v>44927</v>
      </c>
      <c r="D3" s="2" t="s">
        <v>26</v>
      </c>
      <c r="E3" s="2" t="n">
        <f aca="true">+ROUND(RAND()*50, 1)+5</f>
        <v>9.1</v>
      </c>
      <c r="F3" s="2" t="n">
        <f aca="true">+ROUND(RAND()*20, 1)+3</f>
        <v>16.5</v>
      </c>
      <c r="G3" s="2" t="n">
        <f aca="true">+ROUND(RAND()*1000, 0)</f>
        <v>604</v>
      </c>
    </row>
    <row r="4" customFormat="false" ht="14.25" hidden="false" customHeight="false" outlineLevel="0" collapsed="false">
      <c r="A4" s="2" t="s">
        <v>3</v>
      </c>
      <c r="B4" s="2" t="s">
        <v>21</v>
      </c>
      <c r="C4" s="3" t="n">
        <v>44927</v>
      </c>
      <c r="D4" s="2" t="s">
        <v>26</v>
      </c>
      <c r="E4" s="2" t="n">
        <f aca="true">+ROUND(RAND()*50, 1)+5</f>
        <v>39.8</v>
      </c>
      <c r="F4" s="2" t="n">
        <f aca="true">+ROUND(RAND()*20, 1)+3</f>
        <v>5.9</v>
      </c>
      <c r="G4" s="2" t="n">
        <f aca="true">+ROUND(RAND()*1000, 0)</f>
        <v>654</v>
      </c>
    </row>
    <row r="5" customFormat="false" ht="14.25" hidden="false" customHeight="false" outlineLevel="0" collapsed="false">
      <c r="A5" s="2" t="s">
        <v>3</v>
      </c>
      <c r="B5" s="2" t="s">
        <v>21</v>
      </c>
      <c r="C5" s="3" t="n">
        <v>44927</v>
      </c>
      <c r="D5" s="2" t="s">
        <v>26</v>
      </c>
      <c r="E5" s="2" t="n">
        <f aca="true">+ROUND(RAND()*50, 1)+5</f>
        <v>7</v>
      </c>
      <c r="F5" s="2" t="n">
        <f aca="true">+ROUND(RAND()*20, 1)+3</f>
        <v>8.2</v>
      </c>
      <c r="G5" s="2" t="n">
        <f aca="true">+ROUND(RAND()*1000, 0)</f>
        <v>334</v>
      </c>
    </row>
    <row r="6" customFormat="false" ht="14.25" hidden="false" customHeight="false" outlineLevel="0" collapsed="false">
      <c r="A6" s="2" t="s">
        <v>3</v>
      </c>
      <c r="B6" s="2" t="s">
        <v>21</v>
      </c>
      <c r="C6" s="3" t="n">
        <v>44927</v>
      </c>
      <c r="D6" s="2" t="s">
        <v>26</v>
      </c>
      <c r="E6" s="2" t="n">
        <f aca="true">+ROUND(RAND()*50, 1)+5</f>
        <v>25</v>
      </c>
      <c r="F6" s="2" t="n">
        <f aca="true">+ROUND(RAND()*20, 1)+3</f>
        <v>20.9</v>
      </c>
      <c r="G6" s="2" t="n">
        <f aca="true">+ROUND(RAND()*1000, 0)</f>
        <v>168</v>
      </c>
    </row>
    <row r="7" customFormat="false" ht="14.25" hidden="false" customHeight="false" outlineLevel="0" collapsed="false">
      <c r="A7" s="2" t="s">
        <v>3</v>
      </c>
      <c r="B7" s="2" t="s">
        <v>17</v>
      </c>
      <c r="C7" s="3" t="n">
        <v>45292</v>
      </c>
      <c r="D7" s="2" t="s">
        <v>26</v>
      </c>
      <c r="E7" s="2" t="n">
        <f aca="true">+ROUND(RAND()*50, 1)+5</f>
        <v>19.6</v>
      </c>
      <c r="F7" s="2" t="n">
        <f aca="true">+ROUND(RAND()*20, 1)+3</f>
        <v>4.5</v>
      </c>
      <c r="G7" s="2" t="n">
        <f aca="true">+ROUND(RAND()*1000, 0)</f>
        <v>529</v>
      </c>
    </row>
    <row r="8" customFormat="false" ht="14.25" hidden="false" customHeight="false" outlineLevel="0" collapsed="false">
      <c r="A8" s="2" t="s">
        <v>3</v>
      </c>
      <c r="B8" s="2" t="s">
        <v>17</v>
      </c>
      <c r="C8" s="3" t="n">
        <v>45292</v>
      </c>
      <c r="D8" s="2" t="s">
        <v>26</v>
      </c>
      <c r="E8" s="2" t="n">
        <f aca="true">+ROUND(RAND()*50, 1)+5</f>
        <v>40.1</v>
      </c>
      <c r="F8" s="2" t="n">
        <f aca="true">+ROUND(RAND()*20, 1)+3</f>
        <v>21.2</v>
      </c>
      <c r="G8" s="2" t="n">
        <f aca="true">+ROUND(RAND()*1000, 0)</f>
        <v>634</v>
      </c>
    </row>
    <row r="9" customFormat="false" ht="14.25" hidden="false" customHeight="false" outlineLevel="0" collapsed="false">
      <c r="A9" s="2" t="s">
        <v>3</v>
      </c>
      <c r="B9" s="2" t="s">
        <v>21</v>
      </c>
      <c r="C9" s="3" t="n">
        <v>45292</v>
      </c>
      <c r="D9" s="2" t="s">
        <v>26</v>
      </c>
      <c r="E9" s="2" t="n">
        <f aca="true">+ROUND(RAND()*50, 1)+5</f>
        <v>12.9</v>
      </c>
      <c r="F9" s="2" t="n">
        <f aca="true">+ROUND(RAND()*20, 1)+3</f>
        <v>6.9</v>
      </c>
      <c r="G9" s="2" t="n">
        <f aca="true">+ROUND(RAND()*1000, 0)</f>
        <v>313</v>
      </c>
    </row>
    <row r="10" customFormat="false" ht="14.25" hidden="false" customHeight="false" outlineLevel="0" collapsed="false">
      <c r="A10" s="2" t="s">
        <v>3</v>
      </c>
      <c r="B10" s="2" t="s">
        <v>21</v>
      </c>
      <c r="C10" s="3" t="n">
        <v>45292</v>
      </c>
      <c r="D10" s="2" t="s">
        <v>26</v>
      </c>
      <c r="E10" s="2" t="n">
        <f aca="true">+ROUND(RAND()*50, 1)+5</f>
        <v>19.6</v>
      </c>
      <c r="F10" s="2" t="n">
        <f aca="true">+ROUND(RAND()*20, 1)+3</f>
        <v>4</v>
      </c>
      <c r="G10" s="2" t="n">
        <f aca="true">+ROUND(RAND()*1000, 0)</f>
        <v>372</v>
      </c>
    </row>
    <row r="11" customFormat="false" ht="14.25" hidden="false" customHeight="false" outlineLevel="0" collapsed="false">
      <c r="A11" s="2" t="s">
        <v>3</v>
      </c>
      <c r="B11" s="2" t="s">
        <v>21</v>
      </c>
      <c r="C11" s="3" t="n">
        <v>45292</v>
      </c>
      <c r="D11" s="2" t="s">
        <v>26</v>
      </c>
      <c r="E11" s="2" t="n">
        <f aca="true">+ROUND(RAND()*50, 1)+5</f>
        <v>46.8</v>
      </c>
      <c r="F11" s="2" t="n">
        <f aca="true">+ROUND(RAND()*20, 1)+3</f>
        <v>13.1</v>
      </c>
      <c r="G11" s="2" t="n">
        <f aca="true">+ROUND(RAND()*1000, 0)</f>
        <v>43</v>
      </c>
    </row>
    <row r="12" customFormat="false" ht="14.25" hidden="false" customHeight="false" outlineLevel="0" collapsed="false">
      <c r="A12" s="2" t="s">
        <v>3</v>
      </c>
      <c r="B12" s="2" t="s">
        <v>17</v>
      </c>
      <c r="C12" s="3" t="n">
        <v>45658</v>
      </c>
      <c r="D12" s="2" t="s">
        <v>26</v>
      </c>
      <c r="E12" s="2" t="n">
        <f aca="true">+ROUND(RAND()*50, 1)+5</f>
        <v>33.1</v>
      </c>
      <c r="F12" s="2" t="n">
        <f aca="true">+ROUND(RAND()*20, 1)+3</f>
        <v>4.7</v>
      </c>
      <c r="G12" s="2" t="n">
        <f aca="true">+ROUND(RAND()*1000, 0)</f>
        <v>327</v>
      </c>
    </row>
    <row r="13" customFormat="false" ht="14.25" hidden="false" customHeight="false" outlineLevel="0" collapsed="false">
      <c r="A13" s="2" t="s">
        <v>3</v>
      </c>
      <c r="B13" s="2" t="s">
        <v>17</v>
      </c>
      <c r="C13" s="3" t="n">
        <v>45658</v>
      </c>
      <c r="D13" s="2" t="s">
        <v>26</v>
      </c>
      <c r="E13" s="2" t="n">
        <f aca="true">+ROUND(RAND()*50, 1)+5</f>
        <v>25</v>
      </c>
      <c r="F13" s="2" t="n">
        <f aca="true">+ROUND(RAND()*20, 1)+3</f>
        <v>19</v>
      </c>
      <c r="G13" s="2" t="n">
        <f aca="true">+ROUND(RAND()*1000, 0)</f>
        <v>793</v>
      </c>
    </row>
    <row r="14" customFormat="false" ht="14.25" hidden="false" customHeight="false" outlineLevel="0" collapsed="false">
      <c r="A14" s="2" t="s">
        <v>3</v>
      </c>
      <c r="B14" s="2" t="s">
        <v>21</v>
      </c>
      <c r="C14" s="3" t="n">
        <v>45658</v>
      </c>
      <c r="D14" s="2" t="s">
        <v>26</v>
      </c>
      <c r="E14" s="2" t="n">
        <f aca="true">+ROUND(RAND()*50, 1)+5</f>
        <v>41.2</v>
      </c>
      <c r="F14" s="2" t="n">
        <f aca="true">+ROUND(RAND()*20, 1)+3</f>
        <v>14.8</v>
      </c>
      <c r="G14" s="2" t="n">
        <f aca="true">+ROUND(RAND()*1000, 0)</f>
        <v>42</v>
      </c>
    </row>
    <row r="15" customFormat="false" ht="14.25" hidden="false" customHeight="false" outlineLevel="0" collapsed="false">
      <c r="A15" s="2" t="s">
        <v>3</v>
      </c>
      <c r="B15" s="2" t="s">
        <v>21</v>
      </c>
      <c r="C15" s="3" t="n">
        <v>45658</v>
      </c>
      <c r="D15" s="2" t="s">
        <v>26</v>
      </c>
      <c r="E15" s="2" t="n">
        <f aca="true">+ROUND(RAND()*50, 1)+5</f>
        <v>51.9</v>
      </c>
      <c r="F15" s="2" t="n">
        <f aca="true">+ROUND(RAND()*20, 1)+3</f>
        <v>7.7</v>
      </c>
      <c r="G15" s="2" t="n">
        <f aca="true">+ROUND(RAND()*1000, 0)</f>
        <v>189</v>
      </c>
    </row>
    <row r="16" customFormat="false" ht="14.25" hidden="false" customHeight="false" outlineLevel="0" collapsed="false">
      <c r="A16" s="2" t="s">
        <v>3</v>
      </c>
      <c r="B16" s="2" t="s">
        <v>21</v>
      </c>
      <c r="C16" s="3" t="n">
        <v>45658</v>
      </c>
      <c r="D16" s="2" t="s">
        <v>26</v>
      </c>
      <c r="E16" s="2" t="n">
        <f aca="true">+ROUND(RAND()*50, 1)+5</f>
        <v>35.8</v>
      </c>
      <c r="F16" s="2" t="n">
        <f aca="true">+ROUND(RAND()*20, 1)+3</f>
        <v>14</v>
      </c>
      <c r="G16" s="2" t="n">
        <f aca="true">+ROUND(RAND()*1000, 0)</f>
        <v>558</v>
      </c>
    </row>
    <row r="17" customFormat="false" ht="14.25" hidden="false" customHeight="false" outlineLevel="0" collapsed="false">
      <c r="A17" s="2" t="s">
        <v>7</v>
      </c>
      <c r="B17" s="2" t="s">
        <v>19</v>
      </c>
      <c r="C17" s="3" t="n">
        <v>44927</v>
      </c>
      <c r="D17" s="2" t="s">
        <v>26</v>
      </c>
      <c r="E17" s="2" t="n">
        <f aca="true">+ROUND(RAND()*50, 1)+5</f>
        <v>51.2</v>
      </c>
      <c r="F17" s="2" t="n">
        <f aca="true">+ROUND(RAND()*20, 1)+3</f>
        <v>13.6</v>
      </c>
      <c r="G17" s="2" t="n">
        <f aca="true">+ROUND(RAND()*1000, 0)</f>
        <v>655</v>
      </c>
    </row>
    <row r="18" customFormat="false" ht="14.25" hidden="false" customHeight="false" outlineLevel="0" collapsed="false">
      <c r="A18" s="2" t="s">
        <v>7</v>
      </c>
      <c r="B18" s="2" t="s">
        <v>19</v>
      </c>
      <c r="C18" s="3" t="n">
        <v>44927</v>
      </c>
      <c r="D18" s="2" t="s">
        <v>26</v>
      </c>
      <c r="E18" s="2" t="n">
        <f aca="true">+ROUND(RAND()*50, 1)+5</f>
        <v>32.5</v>
      </c>
      <c r="F18" s="2" t="n">
        <f aca="true">+ROUND(RAND()*20, 1)+3</f>
        <v>11.2</v>
      </c>
      <c r="G18" s="2" t="n">
        <f aca="true">+ROUND(RAND()*1000, 0)</f>
        <v>303</v>
      </c>
    </row>
    <row r="19" customFormat="false" ht="14.25" hidden="false" customHeight="false" outlineLevel="0" collapsed="false">
      <c r="A19" s="2" t="s">
        <v>7</v>
      </c>
      <c r="B19" s="2" t="s">
        <v>17</v>
      </c>
      <c r="C19" s="3" t="n">
        <v>44927</v>
      </c>
      <c r="D19" s="2" t="s">
        <v>26</v>
      </c>
      <c r="E19" s="2" t="n">
        <f aca="true">+ROUND(RAND()*50, 1)+5</f>
        <v>9.5</v>
      </c>
      <c r="F19" s="2" t="n">
        <f aca="true">+ROUND(RAND()*20, 1)+3</f>
        <v>3.3</v>
      </c>
      <c r="G19" s="2" t="n">
        <f aca="true">+ROUND(RAND()*1000, 0)</f>
        <v>353</v>
      </c>
    </row>
    <row r="20" customFormat="false" ht="14.25" hidden="false" customHeight="false" outlineLevel="0" collapsed="false">
      <c r="A20" s="2" t="s">
        <v>7</v>
      </c>
      <c r="B20" s="2" t="s">
        <v>19</v>
      </c>
      <c r="C20" s="3" t="n">
        <v>45292</v>
      </c>
      <c r="D20" s="2" t="s">
        <v>26</v>
      </c>
      <c r="E20" s="2" t="n">
        <f aca="true">+ROUND(RAND()*50, 1)+5</f>
        <v>12.4</v>
      </c>
      <c r="F20" s="2" t="n">
        <f aca="true">+ROUND(RAND()*20, 1)+3</f>
        <v>22.1</v>
      </c>
      <c r="G20" s="2" t="n">
        <f aca="true">+ROUND(RAND()*1000, 0)</f>
        <v>241</v>
      </c>
    </row>
    <row r="21" customFormat="false" ht="14.25" hidden="false" customHeight="false" outlineLevel="0" collapsed="false">
      <c r="A21" s="2" t="s">
        <v>7</v>
      </c>
      <c r="B21" s="2" t="s">
        <v>19</v>
      </c>
      <c r="C21" s="3" t="n">
        <v>45292</v>
      </c>
      <c r="D21" s="2" t="s">
        <v>26</v>
      </c>
      <c r="E21" s="2" t="n">
        <f aca="true">+ROUND(RAND()*50, 1)+5</f>
        <v>21.8</v>
      </c>
      <c r="F21" s="2" t="n">
        <f aca="true">+ROUND(RAND()*20, 1)+3</f>
        <v>11.4</v>
      </c>
      <c r="G21" s="2" t="n">
        <f aca="true">+ROUND(RAND()*1000, 0)</f>
        <v>322</v>
      </c>
    </row>
    <row r="22" customFormat="false" ht="14.25" hidden="false" customHeight="false" outlineLevel="0" collapsed="false">
      <c r="A22" s="2" t="s">
        <v>7</v>
      </c>
      <c r="B22" s="2" t="s">
        <v>17</v>
      </c>
      <c r="C22" s="3" t="n">
        <v>45292</v>
      </c>
      <c r="D22" s="2" t="s">
        <v>26</v>
      </c>
      <c r="E22" s="2" t="n">
        <f aca="true">+ROUND(RAND()*50, 1)+5</f>
        <v>36.4</v>
      </c>
      <c r="F22" s="2" t="n">
        <f aca="true">+ROUND(RAND()*20, 1)+3</f>
        <v>15.5</v>
      </c>
      <c r="G22" s="2" t="n">
        <f aca="true">+ROUND(RAND()*1000, 0)</f>
        <v>90</v>
      </c>
    </row>
    <row r="23" customFormat="false" ht="14.25" hidden="false" customHeight="false" outlineLevel="0" collapsed="false">
      <c r="A23" s="2" t="s">
        <v>7</v>
      </c>
      <c r="B23" s="2" t="s">
        <v>19</v>
      </c>
      <c r="C23" s="3" t="n">
        <v>45658</v>
      </c>
      <c r="D23" s="2" t="s">
        <v>26</v>
      </c>
      <c r="E23" s="2" t="n">
        <f aca="true">+ROUND(RAND()*50, 1)+5</f>
        <v>33.6</v>
      </c>
      <c r="F23" s="2" t="n">
        <f aca="true">+ROUND(RAND()*20, 1)+3</f>
        <v>8.6</v>
      </c>
      <c r="G23" s="2" t="n">
        <f aca="true">+ROUND(RAND()*1000, 0)</f>
        <v>257</v>
      </c>
    </row>
    <row r="24" customFormat="false" ht="14.25" hidden="false" customHeight="false" outlineLevel="0" collapsed="false">
      <c r="A24" s="2" t="s">
        <v>7</v>
      </c>
      <c r="B24" s="2" t="s">
        <v>19</v>
      </c>
      <c r="C24" s="3" t="n">
        <v>45658</v>
      </c>
      <c r="D24" s="2" t="s">
        <v>26</v>
      </c>
      <c r="E24" s="2" t="n">
        <f aca="true">+ROUND(RAND()*50, 1)+5</f>
        <v>21.8</v>
      </c>
      <c r="F24" s="2" t="n">
        <f aca="true">+ROUND(RAND()*20, 1)+3</f>
        <v>11.9</v>
      </c>
      <c r="G24" s="2" t="n">
        <f aca="true">+ROUND(RAND()*1000, 0)</f>
        <v>224</v>
      </c>
    </row>
    <row r="25" customFormat="false" ht="14.25" hidden="false" customHeight="false" outlineLevel="0" collapsed="false">
      <c r="A25" s="2" t="s">
        <v>7</v>
      </c>
      <c r="B25" s="2" t="s">
        <v>17</v>
      </c>
      <c r="C25" s="3" t="n">
        <v>45658</v>
      </c>
      <c r="D25" s="2" t="s">
        <v>26</v>
      </c>
      <c r="E25" s="2" t="n">
        <f aca="true">+ROUND(RAND()*50, 1)+5</f>
        <v>49.2</v>
      </c>
      <c r="F25" s="2" t="n">
        <f aca="true">+ROUND(RAND()*20, 1)+3</f>
        <v>21.6</v>
      </c>
      <c r="G25" s="2" t="n">
        <f aca="true">+ROUND(RAND()*1000, 0)</f>
        <v>841</v>
      </c>
    </row>
    <row r="26" customFormat="false" ht="14.25" hidden="false" customHeight="false" outlineLevel="0" collapsed="false">
      <c r="A26" s="2" t="s">
        <v>7</v>
      </c>
      <c r="B26" s="2" t="s">
        <v>17</v>
      </c>
      <c r="C26" s="3" t="n">
        <v>45658</v>
      </c>
      <c r="D26" s="2" t="s">
        <v>26</v>
      </c>
      <c r="E26" s="2" t="n">
        <f aca="true">+ROUND(RAND()*50, 1)+5</f>
        <v>31.5</v>
      </c>
      <c r="F26" s="2" t="n">
        <f aca="true">+ROUND(RAND()*20, 1)+3</f>
        <v>17.7</v>
      </c>
      <c r="G26" s="2" t="n">
        <f aca="true">+ROUND(RAND()*1000, 0)</f>
        <v>627</v>
      </c>
    </row>
    <row r="27" customFormat="false" ht="14.25" hidden="false" customHeight="false" outlineLevel="0" collapsed="false">
      <c r="A27" s="2" t="s">
        <v>3</v>
      </c>
      <c r="B27" s="2" t="s">
        <v>17</v>
      </c>
      <c r="C27" s="3" t="n">
        <v>44927</v>
      </c>
      <c r="D27" s="2" t="s">
        <v>27</v>
      </c>
      <c r="E27" s="2" t="n">
        <f aca="true">+ROUND(RAND()*50, 1)+5</f>
        <v>43.6</v>
      </c>
      <c r="F27" s="2" t="n">
        <f aca="true">+ROUND(RAND()*20, 1)+3</f>
        <v>3.6</v>
      </c>
      <c r="G27" s="2" t="n">
        <f aca="true">+ROUND(RAND()*200, 0)</f>
        <v>112</v>
      </c>
    </row>
    <row r="28" customFormat="false" ht="14.25" hidden="false" customHeight="false" outlineLevel="0" collapsed="false">
      <c r="A28" s="2" t="s">
        <v>3</v>
      </c>
      <c r="B28" s="2" t="s">
        <v>17</v>
      </c>
      <c r="C28" s="3" t="n">
        <v>44927</v>
      </c>
      <c r="D28" s="2" t="s">
        <v>27</v>
      </c>
      <c r="E28" s="2" t="n">
        <f aca="true">+ROUND(RAND()*50, 1)+5</f>
        <v>54.6</v>
      </c>
      <c r="F28" s="2" t="n">
        <f aca="true">+ROUND(RAND()*20, 1)+3</f>
        <v>17</v>
      </c>
      <c r="G28" s="2" t="n">
        <f aca="true">+ROUND(RAND()*200, 0)</f>
        <v>96</v>
      </c>
    </row>
    <row r="29" customFormat="false" ht="14.25" hidden="false" customHeight="false" outlineLevel="0" collapsed="false">
      <c r="A29" s="2" t="s">
        <v>3</v>
      </c>
      <c r="B29" s="2" t="s">
        <v>21</v>
      </c>
      <c r="C29" s="3" t="n">
        <v>44927</v>
      </c>
      <c r="D29" s="2" t="s">
        <v>27</v>
      </c>
      <c r="E29" s="2" t="n">
        <f aca="true">+ROUND(RAND()*50, 1)+5</f>
        <v>25.7</v>
      </c>
      <c r="F29" s="2" t="n">
        <f aca="true">+ROUND(RAND()*20, 1)+3</f>
        <v>4.7</v>
      </c>
      <c r="G29" s="2" t="n">
        <f aca="true">+ROUND(RAND()*200, 0)</f>
        <v>17</v>
      </c>
    </row>
    <row r="30" customFormat="false" ht="14.25" hidden="false" customHeight="false" outlineLevel="0" collapsed="false">
      <c r="A30" s="2" t="s">
        <v>3</v>
      </c>
      <c r="B30" s="2" t="s">
        <v>17</v>
      </c>
      <c r="C30" s="3" t="n">
        <v>45292</v>
      </c>
      <c r="D30" s="2" t="s">
        <v>27</v>
      </c>
      <c r="E30" s="2" t="n">
        <f aca="true">+ROUND(RAND()*50, 1)+5</f>
        <v>40.9</v>
      </c>
      <c r="F30" s="2" t="n">
        <f aca="true">+ROUND(RAND()*20, 1)+3</f>
        <v>12.1</v>
      </c>
      <c r="G30" s="2" t="n">
        <f aca="true">+ROUND(RAND()*200, 0)</f>
        <v>37</v>
      </c>
    </row>
    <row r="31" customFormat="false" ht="14.25" hidden="false" customHeight="false" outlineLevel="0" collapsed="false">
      <c r="A31" s="2" t="s">
        <v>3</v>
      </c>
      <c r="B31" s="2" t="s">
        <v>21</v>
      </c>
      <c r="C31" s="3" t="n">
        <v>45658</v>
      </c>
      <c r="D31" s="2" t="s">
        <v>27</v>
      </c>
      <c r="E31" s="2" t="n">
        <f aca="true">+ROUND(RAND()*50, 1)+5</f>
        <v>36</v>
      </c>
      <c r="F31" s="2" t="n">
        <f aca="true">+ROUND(RAND()*20, 1)+3</f>
        <v>14.4</v>
      </c>
      <c r="G31" s="2" t="n">
        <f aca="true">+ROUND(RAND()*200, 0)</f>
        <v>193</v>
      </c>
    </row>
    <row r="32" customFormat="false" ht="14.25" hidden="false" customHeight="false" outlineLevel="0" collapsed="false">
      <c r="A32" s="2" t="s">
        <v>7</v>
      </c>
      <c r="B32" s="2" t="s">
        <v>19</v>
      </c>
      <c r="C32" s="3" t="n">
        <v>44927</v>
      </c>
      <c r="D32" s="2" t="s">
        <v>27</v>
      </c>
      <c r="E32" s="2" t="n">
        <f aca="true">+ROUND(RAND()*50, 1)+5</f>
        <v>36</v>
      </c>
      <c r="F32" s="2" t="n">
        <f aca="true">+ROUND(RAND()*20, 1)+3</f>
        <v>15.4</v>
      </c>
      <c r="G32" s="2" t="n">
        <f aca="true">+ROUND(RAND()*200, 0)</f>
        <v>118</v>
      </c>
    </row>
    <row r="33" customFormat="false" ht="14.25" hidden="false" customHeight="false" outlineLevel="0" collapsed="false">
      <c r="A33" s="2" t="s">
        <v>7</v>
      </c>
      <c r="B33" s="2" t="s">
        <v>17</v>
      </c>
      <c r="C33" s="3" t="n">
        <v>44927</v>
      </c>
      <c r="D33" s="2" t="s">
        <v>27</v>
      </c>
      <c r="E33" s="2" t="n">
        <f aca="true">+ROUND(RAND()*50, 1)+5</f>
        <v>38.6</v>
      </c>
      <c r="F33" s="2" t="n">
        <f aca="true">+ROUND(RAND()*20, 1)+3</f>
        <v>11.6</v>
      </c>
      <c r="G33" s="2" t="n">
        <f aca="true">+ROUND(RAND()*200, 0)</f>
        <v>178</v>
      </c>
    </row>
    <row r="34" customFormat="false" ht="14.25" hidden="false" customHeight="false" outlineLevel="0" collapsed="false">
      <c r="A34" s="2" t="s">
        <v>7</v>
      </c>
      <c r="B34" s="2" t="s">
        <v>19</v>
      </c>
      <c r="C34" s="3" t="n">
        <v>45292</v>
      </c>
      <c r="D34" s="2" t="s">
        <v>27</v>
      </c>
      <c r="E34" s="2" t="n">
        <f aca="true">+ROUND(RAND()*50, 1)+5</f>
        <v>9.7</v>
      </c>
      <c r="F34" s="2" t="n">
        <f aca="true">+ROUND(RAND()*20, 1)+3</f>
        <v>4.9</v>
      </c>
      <c r="G34" s="2" t="n">
        <f aca="true">+ROUND(RAND()*200, 0)</f>
        <v>47</v>
      </c>
    </row>
    <row r="35" customFormat="false" ht="14.25" hidden="false" customHeight="false" outlineLevel="0" collapsed="false">
      <c r="A35" s="2" t="s">
        <v>7</v>
      </c>
      <c r="B35" s="2" t="s">
        <v>17</v>
      </c>
      <c r="C35" s="3" t="n">
        <v>45658</v>
      </c>
      <c r="D35" s="2" t="s">
        <v>27</v>
      </c>
      <c r="E35" s="2" t="n">
        <f aca="true">+ROUND(RAND()*50, 1)+5</f>
        <v>50.4</v>
      </c>
      <c r="F35" s="2" t="n">
        <f aca="true">+ROUND(RAND()*20, 1)+3</f>
        <v>15.5</v>
      </c>
      <c r="G35" s="2" t="n">
        <f aca="true">+ROUND(RAND()*200, 0)</f>
        <v>143</v>
      </c>
    </row>
    <row r="36" customFormat="false" ht="14.25" hidden="false" customHeight="false" outlineLevel="0" collapsed="false">
      <c r="A36" s="2" t="s">
        <v>3</v>
      </c>
      <c r="B36" s="2" t="s">
        <v>17</v>
      </c>
      <c r="C36" s="3" t="n">
        <v>45658</v>
      </c>
      <c r="D36" s="2" t="s">
        <v>28</v>
      </c>
      <c r="E36" s="2" t="n">
        <f aca="true">+ROUND(RAND()*50, 1)+5</f>
        <v>47.1</v>
      </c>
      <c r="F36" s="2" t="n">
        <f aca="true">+ROUND(RAND()*20, 1)</f>
        <v>13.3</v>
      </c>
      <c r="G36" s="2" t="n">
        <f aca="true">+ROUND(RAND()*100, 0)</f>
        <v>8</v>
      </c>
    </row>
    <row r="37" customFormat="false" ht="14.25" hidden="false" customHeight="false" outlineLevel="0" collapsed="false">
      <c r="A37" s="2" t="s">
        <v>3</v>
      </c>
      <c r="B37" s="2" t="s">
        <v>21</v>
      </c>
      <c r="C37" s="3" t="n">
        <v>45658</v>
      </c>
      <c r="D37" s="2" t="s">
        <v>28</v>
      </c>
      <c r="E37" s="2" t="n">
        <f aca="true">+ROUND(RAND()*50, 1)+5</f>
        <v>48.6</v>
      </c>
      <c r="F37" s="2" t="n">
        <f aca="true">+ROUND(RAND()*20, 1)</f>
        <v>0.2</v>
      </c>
      <c r="G37" s="2" t="n">
        <f aca="true">+ROUND(RAND()*100, 0)</f>
        <v>90</v>
      </c>
    </row>
    <row r="38" customFormat="false" ht="14.25" hidden="false" customHeight="false" outlineLevel="0" collapsed="false">
      <c r="A38" s="2" t="s">
        <v>3</v>
      </c>
      <c r="B38" s="2" t="s">
        <v>21</v>
      </c>
      <c r="C38" s="3" t="n">
        <v>45658</v>
      </c>
      <c r="D38" s="2" t="s">
        <v>28</v>
      </c>
      <c r="E38" s="2" t="n">
        <f aca="true">+ROUND(RAND()*50, 1)+5</f>
        <v>37.5</v>
      </c>
      <c r="F38" s="2" t="n">
        <f aca="true">+ROUND(RAND()*20, 1)</f>
        <v>17.8</v>
      </c>
      <c r="G38" s="2" t="n">
        <f aca="true">+ROUND(RAND()*100, 0)</f>
        <v>45</v>
      </c>
    </row>
    <row r="39" customFormat="false" ht="14.25" hidden="false" customHeight="false" outlineLevel="0" collapsed="false">
      <c r="A39" s="2" t="s">
        <v>3</v>
      </c>
      <c r="B39" s="2" t="s">
        <v>21</v>
      </c>
      <c r="C39" s="3" t="n">
        <v>45658</v>
      </c>
      <c r="D39" s="2" t="s">
        <v>28</v>
      </c>
      <c r="E39" s="2" t="n">
        <f aca="true">+ROUND(RAND()*50, 1)+5</f>
        <v>21.6</v>
      </c>
      <c r="F39" s="2" t="n">
        <f aca="true">+ROUND(RAND()*20, 1)</f>
        <v>13.7</v>
      </c>
      <c r="G39" s="2" t="n">
        <f aca="true">+ROUND(RAND()*100, 0)</f>
        <v>57</v>
      </c>
    </row>
    <row r="40" customFormat="false" ht="14.25" hidden="false" customHeight="false" outlineLevel="0" collapsed="false">
      <c r="A40" s="2" t="s">
        <v>7</v>
      </c>
      <c r="B40" s="2" t="s">
        <v>19</v>
      </c>
      <c r="C40" s="3" t="n">
        <v>44927</v>
      </c>
      <c r="D40" s="2" t="s">
        <v>28</v>
      </c>
      <c r="E40" s="2" t="n">
        <f aca="true">+ROUND(RAND()*50, 1)+5</f>
        <v>42.2</v>
      </c>
      <c r="F40" s="2" t="n">
        <f aca="true">+ROUND(RAND()*20, 1)</f>
        <v>1.8</v>
      </c>
      <c r="G40" s="2" t="n">
        <f aca="true">+ROUND(RAND()*100, 0)</f>
        <v>47</v>
      </c>
    </row>
    <row r="41" customFormat="false" ht="14.25" hidden="false" customHeight="false" outlineLevel="0" collapsed="false">
      <c r="A41" s="2" t="s">
        <v>7</v>
      </c>
      <c r="B41" s="2" t="s">
        <v>19</v>
      </c>
      <c r="C41" s="3" t="n">
        <v>44927</v>
      </c>
      <c r="D41" s="2" t="s">
        <v>28</v>
      </c>
      <c r="E41" s="2" t="n">
        <f aca="true">+ROUND(RAND()*50, 1)+5</f>
        <v>6.4</v>
      </c>
      <c r="F41" s="2" t="n">
        <f aca="true">+ROUND(RAND()*20, 1)</f>
        <v>17.6</v>
      </c>
      <c r="G41" s="2" t="n">
        <f aca="true">+ROUND(RAND()*100, 0)</f>
        <v>96</v>
      </c>
    </row>
    <row r="42" customFormat="false" ht="14.25" hidden="false" customHeight="false" outlineLevel="0" collapsed="false">
      <c r="A42" s="2" t="s">
        <v>7</v>
      </c>
      <c r="B42" s="2" t="s">
        <v>17</v>
      </c>
      <c r="C42" s="3" t="n">
        <v>44927</v>
      </c>
      <c r="D42" s="2" t="s">
        <v>28</v>
      </c>
      <c r="E42" s="2" t="n">
        <f aca="true">+ROUND(RAND()*50, 1)+5</f>
        <v>15.6</v>
      </c>
      <c r="F42" s="2" t="n">
        <f aca="true">+ROUND(RAND()*20, 1)</f>
        <v>7.4</v>
      </c>
      <c r="G42" s="2" t="n">
        <f aca="true">+ROUND(RAND()*100, 0)</f>
        <v>19</v>
      </c>
    </row>
    <row r="43" customFormat="false" ht="14.25" hidden="false" customHeight="false" outlineLevel="0" collapsed="false">
      <c r="A43" s="2" t="s">
        <v>7</v>
      </c>
      <c r="B43" s="2" t="s">
        <v>17</v>
      </c>
      <c r="C43" s="3" t="n">
        <v>45292</v>
      </c>
      <c r="D43" s="2" t="s">
        <v>28</v>
      </c>
      <c r="E43" s="2" t="n">
        <f aca="true">+ROUND(RAND()*50, 1)+5</f>
        <v>24.6</v>
      </c>
      <c r="F43" s="2" t="n">
        <f aca="true">+ROUND(RAND()*20, 1)</f>
        <v>10.2</v>
      </c>
      <c r="G43" s="2" t="n">
        <f aca="true">+ROUND(RAND()*100, 0)</f>
        <v>71</v>
      </c>
    </row>
    <row r="44" customFormat="false" ht="14.25" hidden="false" customHeight="false" outlineLevel="0" collapsed="false">
      <c r="A44" s="2" t="s">
        <v>7</v>
      </c>
      <c r="B44" s="2" t="s">
        <v>19</v>
      </c>
      <c r="C44" s="3" t="n">
        <v>45717</v>
      </c>
      <c r="D44" s="2" t="s">
        <v>28</v>
      </c>
      <c r="E44" s="2" t="n">
        <f aca="true">+ROUND(RAND()*50, 1)+5</f>
        <v>19.8</v>
      </c>
      <c r="F44" s="2" t="n">
        <f aca="true">+ROUND(RAND()*20, 1)</f>
        <v>16.9</v>
      </c>
      <c r="G44" s="2" t="n">
        <f aca="true">+ROUND(RAND()*100, 0)</f>
        <v>89</v>
      </c>
    </row>
    <row r="45" customFormat="false" ht="14.25" hidden="false" customHeight="false" outlineLevel="0" collapsed="false">
      <c r="A45" s="2" t="s">
        <v>7</v>
      </c>
      <c r="B45" s="2" t="s">
        <v>19</v>
      </c>
      <c r="C45" s="3" t="n">
        <v>45658</v>
      </c>
      <c r="D45" s="2" t="s">
        <v>28</v>
      </c>
      <c r="E45" s="2" t="n">
        <f aca="true">+ROUND(RAND()*50, 1)+5</f>
        <v>10.3</v>
      </c>
      <c r="F45" s="2" t="n">
        <f aca="true">+ROUND(RAND()*20, 1)</f>
        <v>13.1</v>
      </c>
      <c r="G45" s="2" t="n">
        <f aca="true">+ROUND(RAND()*100, 0)</f>
        <v>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b52536f-ae72-4a59-84ed-2e4ff2cac1d8" xsi:nil="true"/>
    <lcf76f155ced4ddcb4097134ff3c332f xmlns="10b2415f-6b16-408d-a5df-bf55a3837e9c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DDF5E8B92F09488F6994CC76A3261F" ma:contentTypeVersion="14" ma:contentTypeDescription="Crea un document nou" ma:contentTypeScope="" ma:versionID="77fb5a445c241a114a6db4ced5f4c9a2">
  <xsd:schema xmlns:xsd="http://www.w3.org/2001/XMLSchema" xmlns:xs="http://www.w3.org/2001/XMLSchema" xmlns:p="http://schemas.microsoft.com/office/2006/metadata/properties" xmlns:ns2="10b2415f-6b16-408d-a5df-bf55a3837e9c" xmlns:ns3="cb52536f-ae72-4a59-84ed-2e4ff2cac1d8" targetNamespace="http://schemas.microsoft.com/office/2006/metadata/properties" ma:root="true" ma:fieldsID="0a9fed371820f3b6ac84a8d3142ba9e2" ns2:_="" ns3:_="">
    <xsd:import namespace="10b2415f-6b16-408d-a5df-bf55a3837e9c"/>
    <xsd:import namespace="cb52536f-ae72-4a59-84ed-2e4ff2cac1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b2415f-6b16-408d-a5df-bf55a3837e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es de la imatge" ma:readOnly="false" ma:fieldId="{5cf76f15-5ced-4ddc-b409-7134ff3c332f}" ma:taxonomyMulti="true" ma:sspId="d19f90c4-00d9-45b7-bc62-04f95cbe7a8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52536f-ae72-4a59-84ed-2e4ff2cac1d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ebcb379-39a5-4efc-8079-d623ba702961}" ma:internalName="TaxCatchAll" ma:showField="CatchAllData" ma:web="cb52536f-ae72-4a59-84ed-2e4ff2cac1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us de contingut"/>
        <xsd:element ref="dc:title" minOccurs="0" maxOccurs="1" ma:index="4" ma:displayName="Títo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5DDF5E8B92F09488F6994CC76A3261F" ma:contentTypeVersion="14" ma:contentTypeDescription="Crear nuevo documento." ma:contentTypeScope="" ma:versionID="c83b49f018a59e932b4bb22d3a3baca6">
  <xsd:schema xmlns:xsd="http://www.w3.org/2001/XMLSchema" xmlns:xs="http://www.w3.org/2001/XMLSchema" xmlns:p="http://schemas.microsoft.com/office/2006/metadata/properties" xmlns:ns2="10b2415f-6b16-408d-a5df-bf55a3837e9c" xmlns:ns3="cb52536f-ae72-4a59-84ed-2e4ff2cac1d8" targetNamespace="http://schemas.microsoft.com/office/2006/metadata/properties" ma:root="true" ma:fieldsID="f0570fb1bd9374cf929842058f023efb" ns2:_="" ns3:_="">
    <xsd:import namespace="10b2415f-6b16-408d-a5df-bf55a3837e9c"/>
    <xsd:import namespace="cb52536f-ae72-4a59-84ed-2e4ff2cac1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b2415f-6b16-408d-a5df-bf55a3837e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d19f90c4-00d9-45b7-bc62-04f95cbe7a8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52536f-ae72-4a59-84ed-2e4ff2cac1d8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cebcb379-39a5-4efc-8079-d623ba702961}" ma:internalName="TaxCatchAll" ma:showField="CatchAllData" ma:web="cb52536f-ae72-4a59-84ed-2e4ff2cac1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6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0b2415f-6b16-408d-a5df-bf55a3837e9c">
      <Terms xmlns="http://schemas.microsoft.com/office/infopath/2007/PartnerControls"/>
    </lcf76f155ced4ddcb4097134ff3c332f>
    <TaxCatchAll xmlns="cb52536f-ae72-4a59-84ed-2e4ff2cac1d8" xsi:nil="true"/>
  </documentManagement>
</p:properties>
</file>

<file path=customXml/itemProps1.xml><?xml version="1.0" encoding="utf-8"?>
<ds:datastoreItem xmlns:ds="http://schemas.openxmlformats.org/officeDocument/2006/customXml" ds:itemID="{D8126180-C4CE-4F4C-B877-9355FC3468E5}">
  <ds:schemaRefs>
    <ds:schemaRef ds:uri="http://schemas.microsoft.com/office/2006/metadata/properties"/>
    <ds:schemaRef ds:uri="http://schemas.microsoft.com/office/infopath/2007/PartnerControls"/>
    <ds:schemaRef ds:uri="cb52536f-ae72-4a59-84ed-2e4ff2cac1d8"/>
    <ds:schemaRef ds:uri="10b2415f-6b16-408d-a5df-bf55a3837e9c"/>
  </ds:schemaRefs>
</ds:datastoreItem>
</file>

<file path=customXml/itemProps2.xml><?xml version="1.0" encoding="utf-8"?>
<ds:datastoreItem xmlns:ds="http://schemas.openxmlformats.org/officeDocument/2006/customXml" ds:itemID="{1DF7B23B-9604-45E2-8F86-2CB9E5DF60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ED2FFE9-E376-437F-876C-4A93A3F7AA43}"/>
</file>

<file path=customXml/itemProps4.xml><?xml version="1.0" encoding="utf-8"?>
<ds:datastoreItem xmlns:ds="http://schemas.openxmlformats.org/officeDocument/2006/customXml" ds:itemID="{7AF1B8B4-3FB1-4F40-AA1F-B4CCB19EF01D}"/>
</file>

<file path=customXml/itemProps5.xml><?xml version="1.0" encoding="utf-8"?>
<ds:datastoreItem xmlns:ds="http://schemas.openxmlformats.org/officeDocument/2006/customXml" ds:itemID="{2B7703DB-4CCC-4AF9-AE39-47A31EAC3E43}"/>
</file>

<file path=customXml/itemProps6.xml><?xml version="1.0" encoding="utf-8"?>
<ds:datastoreItem xmlns:ds="http://schemas.openxmlformats.org/officeDocument/2006/customXml" ds:itemID="{2558CD12-3729-44E6-B11E-6A1DCA8FCDF5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AQUILUÉ JUNYENT, NÚRIA</dc:creator>
  <dc:description/>
  <cp:lastModifiedBy/>
  <cp:revision>5</cp:revision>
  <dcterms:created xsi:type="dcterms:W3CDTF">2025-09-09T11:09:30Z</dcterms:created>
  <dcterms:modified xsi:type="dcterms:W3CDTF">2025-11-24T11:52:04Z</dcterms:modified>
  <dc:language>es-ES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0x01010095DDF5E8B92F09488F6994CC76A3261F</vt:lpwstr>
  </property>
  <property fmtid="{D5CDD505-2E9C-101B-9397-08002B2CF9AE}" pid="3" name="MediaServiceImageTags">
    <vt:lpwstr/>
  </property>
</Properties>
</file>